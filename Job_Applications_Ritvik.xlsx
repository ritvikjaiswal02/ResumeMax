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Summary" sheetId="2" state="visible" r:id="rId4"/>
  </sheets>
  <definedNames>
    <definedName function="false" hidden="true" localSheetId="0" name="_xlnm._FilterDatabase" vbProcedure="false">Applications!$A$1:$L$1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<sst xmlns="http://schemas.openxmlformats.org/spreadsheetml/2006/main" count="207" uniqueCount="115">
  <si>
    <t xml:space="preserve">#</t>
  </si>
  <si>
    <t xml:space="preserve">Date Applied</t>
  </si>
  <si>
    <t xml:space="preserve">Platform</t>
  </si>
  <si>
    <t xml:space="preserve">Company</t>
  </si>
  <si>
    <t xml:space="preserve">Role</t>
  </si>
  <si>
    <t xml:space="preserve">Location</t>
  </si>
  <si>
    <t xml:space="preserve">Type</t>
  </si>
  <si>
    <t xml:space="preserve">Salary/Stipend</t>
  </si>
  <si>
    <t xml:space="preserve">Job URL</t>
  </si>
  <si>
    <t xml:space="preserve">Apply URL</t>
  </si>
  <si>
    <t xml:space="preserve">Status</t>
  </si>
  <si>
    <t xml:space="preserve">Notes</t>
  </si>
  <si>
    <t xml:space="preserve">2026-03-25</t>
  </si>
  <si>
    <t xml:space="preserve">Naukri</t>
  </si>
  <si>
    <t xml:space="preserve">Galletrix Innovations</t>
  </si>
  <si>
    <t xml:space="preserve">Fullstack Developer Intern</t>
  </si>
  <si>
    <t xml:space="preserve">Thiruvananthapuram</t>
  </si>
  <si>
    <t xml:space="preserve">Internship</t>
  </si>
  <si>
    <t xml:space="preserve">₹12,000-60,000 PA</t>
  </si>
  <si>
    <t xml:space="preserve">https://www.naukri.com/job-listings-fullstack-developer-intern-galletrix-innovations-thiruvananthapuram-0-to-1-years-240326018351</t>
  </si>
  <si>
    <t xml:space="preserve">Applied</t>
  </si>
  <si>
    <t xml:space="preserve">MERN Stack, 0-1 Yrs, 1 day ago</t>
  </si>
  <si>
    <t xml:space="preserve">Acciojob</t>
  </si>
  <si>
    <t xml:space="preserve">Mern Stack Developer</t>
  </si>
  <si>
    <t xml:space="preserve">Chennai</t>
  </si>
  <si>
    <t xml:space="preserve">Full-time</t>
  </si>
  <si>
    <t xml:space="preserve">₹4.5-6 Lacs PA</t>
  </si>
  <si>
    <t xml:space="preserve">https://www.naukri.com/job-listings-mern-stack-developer-acciojob-chennai-0-to-1-years-240326036358</t>
  </si>
  <si>
    <t xml:space="preserve">Walk-In Drive, Grad Year 2025/2026, Few hours ago</t>
  </si>
  <si>
    <t xml:space="preserve">Avinashavis Consulting Services</t>
  </si>
  <si>
    <t xml:space="preserve">Fullstack Software Developer</t>
  </si>
  <si>
    <t xml:space="preserve">Hyderabad (Banjara Hills)</t>
  </si>
  <si>
    <t xml:space="preserve">Not Disclosed</t>
  </si>
  <si>
    <t xml:space="preserve">https://www.naukri.com/job-listings-fullstack-software-developer-avinashavis-consulting-services-hyderabad-0-to-2-years-240326038400</t>
  </si>
  <si>
    <t xml:space="preserve">AI-First Builder, 0-2 Yrs, Just now</t>
  </si>
  <si>
    <t xml:space="preserve">Excellence Technologies</t>
  </si>
  <si>
    <t xml:space="preserve">Noida / Delhi NCR</t>
  </si>
  <si>
    <t xml:space="preserve">https://www.naukri.com/job-listings-mern-stack-developer-excellence-technologies-noida-delhi-ncr-0-to-1-years-100326020012</t>
  </si>
  <si>
    <t xml:space="preserve">Freshers, MERN Stack, 1 day ago</t>
  </si>
  <si>
    <t xml:space="preserve">Jusgoeaz Technologies - Epettyshop</t>
  </si>
  <si>
    <t xml:space="preserve">Software Developer</t>
  </si>
  <si>
    <t xml:space="preserve">Namakkal, Tamil Nadu</t>
  </si>
  <si>
    <t xml:space="preserve">₹3-5 Lacs PA</t>
  </si>
  <si>
    <t xml:space="preserve">https://www.naukri.com/job-listings-software-developer-jusgoeaz-technologies-epettyshop-namakkal-tamil-nadu-0-to-2-years-230326914649</t>
  </si>
  <si>
    <t xml:space="preserve">MERN Stack, Vite.js, Nuxt.js, 1 day ago</t>
  </si>
  <si>
    <t xml:space="preserve">Smart Digital Service</t>
  </si>
  <si>
    <t xml:space="preserve">React JS Developer</t>
  </si>
  <si>
    <t xml:space="preserve">Madurai</t>
  </si>
  <si>
    <t xml:space="preserve">₹1.8-2.4 Lacs PA</t>
  </si>
  <si>
    <t xml:space="preserve">https://www.naukri.com/job-listings-react-js-developer-smart-digital-service-madurai-0-to-2-years-240326029792</t>
  </si>
  <si>
    <t xml:space="preserve">Redux, React.js, CSS, HTML, 1 day ago</t>
  </si>
  <si>
    <t xml:space="preserve">Wellfound</t>
  </si>
  <si>
    <t xml:space="preserve">Alchemyst AI</t>
  </si>
  <si>
    <t xml:space="preserve">AI Engineer - Custom AI Agents</t>
  </si>
  <si>
    <t xml:space="preserve">Remote</t>
  </si>
  <si>
    <t xml:space="preserve">₹3L-₹10L</t>
  </si>
  <si>
    <t xml:space="preserve">https://wellfound.com/company/alchemyst-ai</t>
  </si>
  <si>
    <t xml:space="preserve">No experience req, AI Agents role, 1-click apply</t>
  </si>
  <si>
    <t xml:space="preserve">Six Degrees Consulting</t>
  </si>
  <si>
    <t xml:space="preserve">Founding Engineer – Backend (MERN + AI Systems)</t>
  </si>
  <si>
    <t xml:space="preserve">Remote (India)</t>
  </si>
  <si>
    <t xml:space="preserve">₹7.5L-₹15L + 0.1%-0.5% equity</t>
  </si>
  <si>
    <t xml:space="preserve">https://wellfound.com/jobs/4012985-founding-engineer-backend-mern-ai-systems</t>
  </si>
  <si>
    <t xml:space="preserve">Posted 1 day ago, Actively Hiring, India Gate</t>
  </si>
  <si>
    <t xml:space="preserve">unibotai.com</t>
  </si>
  <si>
    <t xml:space="preserve">Full Stack Developer</t>
  </si>
  <si>
    <t xml:space="preserve">Remote (Bengaluru)</t>
  </si>
  <si>
    <t xml:space="preserve">https://wellfound.com/jobs/4002513-full-stack-developer</t>
  </si>
  <si>
    <t xml:space="preserve">AI-Human platform, Top 1% responders, 4 days ago</t>
  </si>
  <si>
    <t xml:space="preserve">Predictive Data Sciences</t>
  </si>
  <si>
    <t xml:space="preserve">Junior Applied AI Builder</t>
  </si>
  <si>
    <t xml:space="preserve">https://wellfound.com/jobs/4000572-junior-applied-ai-builder</t>
  </si>
  <si>
    <t xml:space="preserve">AI/ML SaaS, Python, Flask, TensorFlow, 5 days ago</t>
  </si>
  <si>
    <t xml:space="preserve">TechBiz Global</t>
  </si>
  <si>
    <t xml:space="preserve">TechBiz Global GmbH</t>
  </si>
  <si>
    <t xml:space="preserve">React JS Developer (Power BI)</t>
  </si>
  <si>
    <t xml:space="preserve">https://jobs.techbiz.global/o/react-js-developer-power-bi</t>
  </si>
  <si>
    <t xml:space="preserve">Pending</t>
  </si>
  <si>
    <t xml:space="preserve">CV upload required manually - file_upload tool blocked on this domain</t>
  </si>
  <si>
    <t xml:space="preserve">Slarity</t>
  </si>
  <si>
    <t xml:space="preserve">Full Stack Developer (Fresher)</t>
  </si>
  <si>
    <t xml:space="preserve">Remote (Everywhere)</t>
  </si>
  <si>
    <t xml:space="preserve">₹3L – ₹4.5L</t>
  </si>
  <si>
    <t xml:space="preserve">https://wellfound.com/jobs/3010686-full-stack-developer-fresher</t>
  </si>
  <si>
    <t xml:space="preserve">Branding+Tech startup, Chennai HQ, Recruiter recently active, 1 day ago</t>
  </si>
  <si>
    <t xml:space="preserve">Gravity AI</t>
  </si>
  <si>
    <t xml:space="preserve">Full Stack Engineer</t>
  </si>
  <si>
    <t xml:space="preserve">Remote (India / Bengaluru)</t>
  </si>
  <si>
    <t xml:space="preserve">₹3L – ₹5L + 0.1%–0.2% equity</t>
  </si>
  <si>
    <t xml:space="preserve">https://wellfound.com/jobs/3991521-full-stack-engineer</t>
  </si>
  <si>
    <t xml:space="preserve">AI Agents in 60 seconds, Actively Hiring, 11-50 employees, 7 days ago</t>
  </si>
  <si>
    <t xml:space="preserve">SwarmLens</t>
  </si>
  <si>
    <t xml:space="preserve">GenAI Engineer</t>
  </si>
  <si>
    <t xml:space="preserve">₹1.2L – ₹6L</t>
  </si>
  <si>
    <t xml:space="preserve">https://wellfound.com/jobs/4013038-genai-engineer</t>
  </si>
  <si>
    <t xml:space="preserve">Industrial AI, Actively Hiring, Top 5% responders, 1 day ago</t>
  </si>
  <si>
    <t xml:space="preserve">KloudMate</t>
  </si>
  <si>
    <t xml:space="preserve">Associate Full Stack Developer</t>
  </si>
  <si>
    <t xml:space="preserve">https://wellfound.com/jobs/3218994-associate-full-stack-developer</t>
  </si>
  <si>
    <t xml:space="preserve">Serverless observability B2B SaaS, Actively Hiring, Early Stage, 3 days ago</t>
  </si>
  <si>
    <t xml:space="preserve">WeKnow Group</t>
  </si>
  <si>
    <t xml:space="preserve">Frontend Engineer</t>
  </si>
  <si>
    <t xml:space="preserve">₹6L – ₹8L</t>
  </si>
  <si>
    <t xml:space="preserve">https://wellfound.com/jobs/4014774-frontend-engineer</t>
  </si>
  <si>
    <t xml:space="preserve">Tours &amp; attractions ticketing kiosks, Actively Hiring, posted yesterday</t>
  </si>
  <si>
    <t xml:space="preserve">Vedasva Systems</t>
  </si>
  <si>
    <t xml:space="preserve">React/Angular/Python Full Stack Developer</t>
  </si>
  <si>
    <t xml:space="preserve">https://wellfound.com/jobs/3490705-react-angular-kotin-python-full-stack-developer</t>
  </si>
  <si>
    <t xml:space="preserve">AI &amp; drone automation B2B/defence, Actively Hiring, 1-10 employees, 1 day ago</t>
  </si>
  <si>
    <t xml:space="preserve">Job Application Summary</t>
  </si>
  <si>
    <t xml:space="preserve">Total Applications</t>
  </si>
  <si>
    <t xml:space="preserve">LinkedIn</t>
  </si>
  <si>
    <t xml:space="preserve">Indeed</t>
  </si>
  <si>
    <t xml:space="preserve">Glassdoor</t>
  </si>
  <si>
    <t xml:space="preserve">Hiring Cafe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</si>
</sst>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40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8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19</v>
      </c>
      <c r="K2" s="0" t="s">
        <v>20</v>
      </c>
      <c r="L2" s="0" t="s">
        <v>21</v>
      </c>
    </row>
    <row r="3" customFormat="false" ht="15" hidden="false" customHeight="false" outlineLevel="0" collapsed="false">
      <c r="A3" s="0" t="n">
        <v>9</v>
      </c>
      <c r="B3" s="0" t="s">
        <v>12</v>
      </c>
      <c r="C3" s="0" t="s">
        <v>13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27</v>
      </c>
      <c r="K3" s="0" t="s">
        <v>20</v>
      </c>
      <c r="L3" s="0" t="s">
        <v>28</v>
      </c>
    </row>
    <row r="4" customFormat="false" ht="15" hidden="false" customHeight="false" outlineLevel="0" collapsed="false">
      <c r="A4" s="0" t="n">
        <v>10</v>
      </c>
      <c r="B4" s="0" t="s">
        <v>12</v>
      </c>
      <c r="C4" s="0" t="s">
        <v>13</v>
      </c>
      <c r="D4" s="0" t="s">
        <v>29</v>
      </c>
      <c r="E4" s="0" t="s">
        <v>30</v>
      </c>
      <c r="F4" s="0" t="s">
        <v>31</v>
      </c>
      <c r="G4" s="0" t="s">
        <v>25</v>
      </c>
      <c r="H4" s="0" t="s">
        <v>32</v>
      </c>
      <c r="I4" s="0" t="s">
        <v>33</v>
      </c>
      <c r="J4" s="0" t="s">
        <v>33</v>
      </c>
      <c r="K4" s="0" t="s">
        <v>20</v>
      </c>
      <c r="L4" s="0" t="s">
        <v>34</v>
      </c>
    </row>
    <row r="5" customFormat="false" ht="15" hidden="false" customHeight="false" outlineLevel="0" collapsed="false">
      <c r="A5" s="0" t="n">
        <v>11</v>
      </c>
      <c r="B5" s="0" t="s">
        <v>12</v>
      </c>
      <c r="C5" s="0" t="s">
        <v>13</v>
      </c>
      <c r="D5" s="0" t="s">
        <v>35</v>
      </c>
      <c r="E5" s="0" t="s">
        <v>23</v>
      </c>
      <c r="F5" s="0" t="s">
        <v>36</v>
      </c>
      <c r="G5" s="0" t="s">
        <v>25</v>
      </c>
      <c r="H5" s="0" t="s">
        <v>32</v>
      </c>
      <c r="I5" s="0" t="s">
        <v>37</v>
      </c>
      <c r="J5" s="0" t="s">
        <v>37</v>
      </c>
      <c r="K5" s="0" t="s">
        <v>20</v>
      </c>
      <c r="L5" s="0" t="s">
        <v>38</v>
      </c>
    </row>
    <row r="6" customFormat="false" ht="15" hidden="false" customHeight="false" outlineLevel="0" collapsed="false">
      <c r="A6" s="0" t="n">
        <v>12</v>
      </c>
      <c r="B6" s="0" t="s">
        <v>12</v>
      </c>
      <c r="C6" s="0" t="s">
        <v>13</v>
      </c>
      <c r="D6" s="0" t="s">
        <v>39</v>
      </c>
      <c r="E6" s="0" t="s">
        <v>40</v>
      </c>
      <c r="F6" s="0" t="s">
        <v>41</v>
      </c>
      <c r="G6" s="0" t="s">
        <v>25</v>
      </c>
      <c r="H6" s="0" t="s">
        <v>42</v>
      </c>
      <c r="I6" s="0" t="s">
        <v>43</v>
      </c>
      <c r="J6" s="0" t="s">
        <v>43</v>
      </c>
      <c r="K6" s="0" t="s">
        <v>20</v>
      </c>
      <c r="L6" s="0" t="s">
        <v>44</v>
      </c>
    </row>
    <row r="7" customFormat="false" ht="15" hidden="false" customHeight="false" outlineLevel="0" collapsed="false">
      <c r="A7" s="0" t="n">
        <v>13</v>
      </c>
      <c r="B7" s="0" t="s">
        <v>12</v>
      </c>
      <c r="C7" s="0" t="s">
        <v>13</v>
      </c>
      <c r="D7" s="0" t="s">
        <v>45</v>
      </c>
      <c r="E7" s="0" t="s">
        <v>46</v>
      </c>
      <c r="F7" s="0" t="s">
        <v>47</v>
      </c>
      <c r="G7" s="0" t="s">
        <v>25</v>
      </c>
      <c r="H7" s="0" t="s">
        <v>48</v>
      </c>
      <c r="I7" s="0" t="s">
        <v>49</v>
      </c>
      <c r="J7" s="0" t="s">
        <v>49</v>
      </c>
      <c r="K7" s="0" t="s">
        <v>20</v>
      </c>
      <c r="L7" s="0" t="s">
        <v>50</v>
      </c>
    </row>
    <row r="8" customFormat="false" ht="15" hidden="false" customHeight="false" outlineLevel="0" collapsed="false">
      <c r="A8" s="0" t="n">
        <v>14</v>
      </c>
      <c r="B8" s="0" t="s">
        <v>12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25</v>
      </c>
      <c r="H8" s="0" t="s">
        <v>55</v>
      </c>
      <c r="I8" s="0" t="s">
        <v>56</v>
      </c>
      <c r="J8" s="0" t="s">
        <v>56</v>
      </c>
      <c r="K8" s="0" t="s">
        <v>20</v>
      </c>
      <c r="L8" s="0" t="s">
        <v>57</v>
      </c>
    </row>
    <row r="9" customFormat="false" ht="15" hidden="false" customHeight="false" outlineLevel="0" collapsed="false">
      <c r="A9" s="0" t="n">
        <v>15</v>
      </c>
      <c r="B9" s="0" t="s">
        <v>12</v>
      </c>
      <c r="C9" s="0" t="s">
        <v>51</v>
      </c>
      <c r="D9" s="0" t="s">
        <v>58</v>
      </c>
      <c r="E9" s="0" t="s">
        <v>59</v>
      </c>
      <c r="F9" s="0" t="s">
        <v>60</v>
      </c>
      <c r="G9" s="0" t="s">
        <v>25</v>
      </c>
      <c r="H9" s="0" t="s">
        <v>61</v>
      </c>
      <c r="I9" s="0" t="s">
        <v>62</v>
      </c>
      <c r="J9" s="0" t="s">
        <v>62</v>
      </c>
      <c r="K9" s="0" t="s">
        <v>20</v>
      </c>
      <c r="L9" s="0" t="s">
        <v>63</v>
      </c>
    </row>
    <row r="10" customFormat="false" ht="15" hidden="false" customHeight="false" outlineLevel="0" collapsed="false">
      <c r="A10" s="0" t="n">
        <v>16</v>
      </c>
      <c r="B10" s="0" t="s">
        <v>12</v>
      </c>
      <c r="C10" s="0" t="s">
        <v>51</v>
      </c>
      <c r="D10" s="0" t="s">
        <v>64</v>
      </c>
      <c r="E10" s="0" t="s">
        <v>65</v>
      </c>
      <c r="F10" s="0" t="s">
        <v>66</v>
      </c>
      <c r="G10" s="0" t="s">
        <v>25</v>
      </c>
      <c r="H10" s="0" t="s">
        <v>32</v>
      </c>
      <c r="I10" s="0" t="s">
        <v>67</v>
      </c>
      <c r="J10" s="0" t="s">
        <v>67</v>
      </c>
      <c r="K10" s="0" t="s">
        <v>20</v>
      </c>
      <c r="L10" s="0" t="s">
        <v>68</v>
      </c>
    </row>
    <row r="11" customFormat="false" ht="15" hidden="false" customHeight="false" outlineLevel="0" collapsed="false">
      <c r="A11" s="0" t="n">
        <v>17</v>
      </c>
      <c r="B11" s="0" t="s">
        <v>12</v>
      </c>
      <c r="C11" s="0" t="s">
        <v>51</v>
      </c>
      <c r="D11" s="0" t="s">
        <v>69</v>
      </c>
      <c r="E11" s="0" t="s">
        <v>70</v>
      </c>
      <c r="F11" s="0" t="s">
        <v>60</v>
      </c>
      <c r="G11" s="0" t="s">
        <v>25</v>
      </c>
      <c r="H11" s="0" t="s">
        <v>32</v>
      </c>
      <c r="I11" s="0" t="s">
        <v>71</v>
      </c>
      <c r="J11" s="0" t="s">
        <v>71</v>
      </c>
      <c r="K11" s="0" t="s">
        <v>20</v>
      </c>
      <c r="L11" s="0" t="s">
        <v>72</v>
      </c>
    </row>
    <row r="12" customFormat="false" ht="15" hidden="false" customHeight="false" outlineLevel="0" collapsed="false">
      <c r="A12" s="0" t="n">
        <v>18</v>
      </c>
      <c r="B12" s="0" t="s">
        <v>12</v>
      </c>
      <c r="C12" s="0" t="s">
        <v>73</v>
      </c>
      <c r="D12" s="0" t="s">
        <v>74</v>
      </c>
      <c r="E12" s="0" t="s">
        <v>75</v>
      </c>
      <c r="F12" s="0" t="s">
        <v>54</v>
      </c>
      <c r="G12" s="0" t="s">
        <v>25</v>
      </c>
      <c r="H12" s="0" t="s">
        <v>32</v>
      </c>
      <c r="I12" s="0" t="s">
        <v>76</v>
      </c>
      <c r="J12" s="0" t="s">
        <v>76</v>
      </c>
      <c r="K12" s="0" t="s">
        <v>77</v>
      </c>
      <c r="L12" s="0" t="s">
        <v>78</v>
      </c>
    </row>
    <row r="13" customFormat="false" ht="15" hidden="false" customHeight="false" outlineLevel="0" collapsed="false">
      <c r="A13" s="0" t="n">
        <v>19</v>
      </c>
      <c r="B13" s="0" t="s">
        <v>12</v>
      </c>
      <c r="C13" s="0" t="s">
        <v>51</v>
      </c>
      <c r="D13" s="0" t="s">
        <v>79</v>
      </c>
      <c r="E13" s="0" t="s">
        <v>80</v>
      </c>
      <c r="F13" s="0" t="s">
        <v>81</v>
      </c>
      <c r="G13" s="0" t="s">
        <v>25</v>
      </c>
      <c r="H13" s="0" t="s">
        <v>82</v>
      </c>
      <c r="I13" s="0" t="s">
        <v>83</v>
      </c>
      <c r="J13" s="0" t="s">
        <v>83</v>
      </c>
      <c r="K13" s="0" t="s">
        <v>20</v>
      </c>
      <c r="L13" s="0" t="s">
        <v>84</v>
      </c>
    </row>
    <row r="14" customFormat="false" ht="15" hidden="false" customHeight="false" outlineLevel="0" collapsed="false">
      <c r="A14" s="0" t="n">
        <v>20</v>
      </c>
      <c r="B14" s="0" t="s">
        <v>12</v>
      </c>
      <c r="C14" s="0" t="s">
        <v>51</v>
      </c>
      <c r="D14" s="0" t="s">
        <v>85</v>
      </c>
      <c r="E14" s="0" t="s">
        <v>86</v>
      </c>
      <c r="F14" s="0" t="s">
        <v>87</v>
      </c>
      <c r="G14" s="0" t="s">
        <v>25</v>
      </c>
      <c r="H14" s="0" t="s">
        <v>88</v>
      </c>
      <c r="I14" s="0" t="s">
        <v>89</v>
      </c>
      <c r="J14" s="0" t="s">
        <v>89</v>
      </c>
      <c r="K14" s="0" t="s">
        <v>20</v>
      </c>
      <c r="L14" s="0" t="s">
        <v>90</v>
      </c>
    </row>
    <row r="15" customFormat="false" ht="15" hidden="false" customHeight="false" outlineLevel="0" collapsed="false">
      <c r="A15" s="0" t="n">
        <v>21</v>
      </c>
      <c r="B15" s="0" t="s">
        <v>12</v>
      </c>
      <c r="C15" s="0" t="s">
        <v>51</v>
      </c>
      <c r="D15" s="0" t="s">
        <v>91</v>
      </c>
      <c r="E15" s="0" t="s">
        <v>92</v>
      </c>
      <c r="F15" s="0" t="s">
        <v>81</v>
      </c>
      <c r="G15" s="0" t="s">
        <v>25</v>
      </c>
      <c r="H15" s="0" t="s">
        <v>93</v>
      </c>
      <c r="I15" s="0" t="s">
        <v>94</v>
      </c>
      <c r="J15" s="0" t="s">
        <v>94</v>
      </c>
      <c r="K15" s="0" t="s">
        <v>20</v>
      </c>
      <c r="L15" s="0" t="s">
        <v>95</v>
      </c>
    </row>
    <row r="16" customFormat="false" ht="15" hidden="false" customHeight="false" outlineLevel="0" collapsed="false">
      <c r="A16" s="0" t="n">
        <v>22</v>
      </c>
      <c r="B16" s="0" t="s">
        <v>12</v>
      </c>
      <c r="C16" s="0" t="s">
        <v>51</v>
      </c>
      <c r="D16" s="0" t="s">
        <v>96</v>
      </c>
      <c r="E16" s="0" t="s">
        <v>97</v>
      </c>
      <c r="F16" s="0" t="s">
        <v>81</v>
      </c>
      <c r="G16" s="0" t="s">
        <v>25</v>
      </c>
      <c r="H16" s="0" t="s">
        <v>82</v>
      </c>
      <c r="I16" s="0" t="s">
        <v>98</v>
      </c>
      <c r="J16" s="0" t="s">
        <v>98</v>
      </c>
      <c r="K16" s="0" t="s">
        <v>20</v>
      </c>
      <c r="L16" s="0" t="s">
        <v>99</v>
      </c>
    </row>
    <row r="17" customFormat="false" ht="15" hidden="false" customHeight="false" outlineLevel="0" collapsed="false">
      <c r="A17" s="0" t="n">
        <v>23</v>
      </c>
      <c r="B17" s="0" t="s">
        <v>12</v>
      </c>
      <c r="C17" s="0" t="s">
        <v>51</v>
      </c>
      <c r="D17" s="0" t="s">
        <v>100</v>
      </c>
      <c r="E17" s="0" t="s">
        <v>101</v>
      </c>
      <c r="F17" s="0" t="s">
        <v>81</v>
      </c>
      <c r="G17" s="0" t="s">
        <v>25</v>
      </c>
      <c r="H17" s="0" t="s">
        <v>102</v>
      </c>
      <c r="I17" s="0" t="s">
        <v>103</v>
      </c>
      <c r="J17" s="0" t="s">
        <v>103</v>
      </c>
      <c r="K17" s="0" t="s">
        <v>20</v>
      </c>
      <c r="L17" s="0" t="s">
        <v>104</v>
      </c>
    </row>
    <row r="18" customFormat="false" ht="15" hidden="false" customHeight="false" outlineLevel="0" collapsed="false">
      <c r="A18" s="0" t="n">
        <v>24</v>
      </c>
      <c r="B18" s="0" t="s">
        <v>12</v>
      </c>
      <c r="C18" s="0" t="s">
        <v>51</v>
      </c>
      <c r="D18" s="0" t="s">
        <v>105</v>
      </c>
      <c r="E18" s="0" t="s">
        <v>106</v>
      </c>
      <c r="F18" s="0" t="s">
        <v>87</v>
      </c>
      <c r="G18" s="0" t="s">
        <v>25</v>
      </c>
      <c r="H18" s="0" t="s">
        <v>32</v>
      </c>
      <c r="I18" s="0" t="s">
        <v>107</v>
      </c>
      <c r="J18" s="0" t="s">
        <v>107</v>
      </c>
      <c r="K18" s="0" t="s">
        <v>20</v>
      </c>
      <c r="L18" s="0" t="s">
        <v>108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3" t="s">
        <v>110</v>
      </c>
      <c r="B3" s="4" t="n">
        <f aca="false">COUNTA(Applications!A2:A500)</f>
        <v>17</v>
      </c>
    </row>
    <row r="4" customFormat="false" ht="15" hidden="false" customHeight="false" outlineLevel="0" collapsed="false">
      <c r="A4" s="3" t="s">
        <v>111</v>
      </c>
      <c r="B4" s="4" t="n">
        <f aca="false">COUNTIF(Applications!C2:C500,"LinkedIn")</f>
        <v>0</v>
      </c>
    </row>
    <row r="5" customFormat="false" ht="15" hidden="false" customHeight="false" outlineLevel="0" collapsed="false">
      <c r="A5" s="3" t="s">
        <v>13</v>
      </c>
      <c r="B5" s="4" t="n">
        <f aca="false">COUNTIF(Applications!C2:C500,"Naukri")</f>
        <v>6</v>
      </c>
    </row>
    <row r="6" customFormat="false" ht="15" hidden="false" customHeight="false" outlineLevel="0" collapsed="false">
      <c r="A6" s="3" t="s">
        <v>112</v>
      </c>
      <c r="B6" s="4" t="n">
        <f aca="false">COUNTIF(Applications!C2:C500,"Indeed")</f>
        <v>0</v>
      </c>
    </row>
    <row r="7" customFormat="false" ht="15" hidden="false" customHeight="false" outlineLevel="0" collapsed="false">
      <c r="A7" s="3" t="s">
        <v>113</v>
      </c>
      <c r="B7" s="4" t="n">
        <f aca="false">COUNTIF(Applications!C2:C500,"Glassdoor")</f>
        <v>0</v>
      </c>
    </row>
    <row r="8" customFormat="false" ht="15" hidden="false" customHeight="false" outlineLevel="0" collapsed="false">
      <c r="A8" s="3" t="s">
        <v>51</v>
      </c>
      <c r="B8" s="4" t="n">
        <f aca="false">COUNTIF(Applications!C2:C500,"Wellfound")</f>
        <v>10</v>
      </c>
    </row>
    <row r="9" customFormat="false" ht="15" hidden="false" customHeight="false" outlineLevel="0" collapsed="false">
      <c r="A9" s="3" t="s">
        <v>114</v>
      </c>
      <c r="B9" s="4" t="n">
        <f aca="false">COUNTIF(Applications!C2:C500,"Hiring Cafe")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2026-03-24T19:11:30Z</dcterms:created>
  <dc:creator>openpyxl</dc:creator>
  <dc:description/>
  <dc:language>en-US</dc:language>
  <cp:lastModifiedBy/>
  <dcterms:modified xsi:type="dcterms:W3CDTF">2026-03-24T21:04:45Z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